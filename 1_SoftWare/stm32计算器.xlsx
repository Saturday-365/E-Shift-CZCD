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Git_Program\Eshift_CZ\1_SoftWare\"/>
    </mc:Choice>
  </mc:AlternateContent>
  <xr:revisionPtr revIDLastSave="0" documentId="13_ncr:1_{F6F0B1DF-905C-42D5-A4C0-C9E7CB881FCE}" xr6:coauthVersionLast="47" xr6:coauthVersionMax="47" xr10:uidLastSave="{00000000-0000-0000-0000-000000000000}"/>
  <bookViews>
    <workbookView xWindow="1073" yWindow="1073" windowWidth="17280" windowHeight="998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E54" i="1"/>
  <c r="D55" i="1"/>
  <c r="E55" i="1"/>
  <c r="D56" i="1"/>
  <c r="E56" i="1"/>
  <c r="D53" i="1"/>
  <c r="E53" i="1" s="1"/>
  <c r="D49" i="1"/>
  <c r="E49" i="1"/>
  <c r="D50" i="1"/>
  <c r="E50" i="1" s="1"/>
  <c r="D51" i="1"/>
  <c r="E51" i="1" s="1"/>
  <c r="D52" i="1"/>
  <c r="E52" i="1" s="1"/>
  <c r="D45" i="1"/>
  <c r="E45" i="1" s="1"/>
  <c r="D46" i="1"/>
  <c r="E46" i="1" s="1"/>
  <c r="D47" i="1"/>
  <c r="E47" i="1" s="1"/>
  <c r="D48" i="1"/>
  <c r="E48" i="1" s="1"/>
  <c r="D37" i="1"/>
  <c r="D38" i="1"/>
  <c r="D39" i="1"/>
  <c r="D40" i="1"/>
  <c r="D41" i="1"/>
  <c r="D42" i="1"/>
  <c r="D43" i="1"/>
  <c r="E43" i="1" s="1"/>
  <c r="D44" i="1"/>
  <c r="E44" i="1" s="1"/>
  <c r="D36" i="1"/>
  <c r="E36" i="1" s="1"/>
  <c r="E37" i="1"/>
  <c r="D12" i="1"/>
  <c r="E12" i="1" s="1"/>
  <c r="E42" i="1"/>
  <c r="E41" i="1"/>
  <c r="E40" i="1"/>
  <c r="E39" i="1"/>
  <c r="E38" i="1"/>
  <c r="D19" i="1"/>
  <c r="E19" i="1" s="1"/>
  <c r="D20" i="1"/>
  <c r="E20" i="1" s="1"/>
  <c r="D18" i="1"/>
  <c r="E18" i="1" s="1"/>
  <c r="D14" i="1"/>
  <c r="E14" i="1" s="1"/>
  <c r="D15" i="1"/>
  <c r="E15" i="1"/>
  <c r="D16" i="1"/>
  <c r="E16" i="1" s="1"/>
  <c r="D17" i="1"/>
  <c r="E17" i="1" s="1"/>
  <c r="D13" i="1"/>
  <c r="E13" i="1" s="1"/>
</calcChain>
</file>

<file path=xl/sharedStrings.xml><?xml version="1.0" encoding="utf-8"?>
<sst xmlns="http://schemas.openxmlformats.org/spreadsheetml/2006/main" count="32" uniqueCount="27">
  <si>
    <t>原始时钟</t>
    <phoneticPr fontId="2" type="noConversion"/>
  </si>
  <si>
    <t>Prescaler</t>
    <phoneticPr fontId="2" type="noConversion"/>
  </si>
  <si>
    <t>Counter Period</t>
    <phoneticPr fontId="2" type="noConversion"/>
  </si>
  <si>
    <t>ARR（TIM_Period）：自动重装载值，是定时器溢出前的计数值</t>
  </si>
  <si>
    <t>PSC（TIM_Prescaler）：预分频值，是用来降低定时器时钟频率的参数</t>
  </si>
  <si>
    <t>Tclk：定时器的输入时钟频率（单位Mhz），通常为系统时钟频率或者定时器外部时钟频率</t>
  </si>
  <si>
    <t>Tout：定时器溢出时间（单位us）。一定要注意这个单位是us</t>
  </si>
  <si>
    <t>原文链接：https://blog.csdn.net/m0_61712829/article/details/135271318</t>
  </si>
  <si>
    <t>1.在STM32CubeMx中选择TIM2，设置Period（ARR）为7200，设置Prescaler（PSC）为100，根据公式计算得定时器溢出时间即定时器的中断时间（单位us）为， 最后结果为10 000 us，即10ms。</t>
  </si>
  <si>
    <t>7200</t>
    <phoneticPr fontId="2" type="noConversion"/>
  </si>
  <si>
    <t>100</t>
    <phoneticPr fontId="2" type="noConversion"/>
  </si>
  <si>
    <t>timer/us</t>
    <phoneticPr fontId="2" type="noConversion"/>
  </si>
  <si>
    <t>timer/ms</t>
    <phoneticPr fontId="2" type="noConversion"/>
  </si>
  <si>
    <t>720</t>
    <phoneticPr fontId="2" type="noConversion"/>
  </si>
  <si>
    <t>在 Parameter Settings 页配置预分频系数为 71，计数周期(自动加载值)为 499，定时器溢出频率，即PWM的周期，就是 72MHz/(71+1)/(499+1) = 2kHz</t>
  </si>
  <si>
    <t>PWM频率：</t>
  </si>
  <si>
    <t>Fpwm =Tclk / ((arr+1)*(psc+1))(单位：Hz)</t>
  </si>
  <si>
    <t>arr 是计数器值</t>
  </si>
  <si>
    <t>psc 是预分频值</t>
  </si>
  <si>
    <t>占空比：</t>
  </si>
  <si>
    <t>duty circle = TIM3-&gt;CCR1 / arr(单位：%)</t>
  </si>
  <si>
    <t>arr</t>
    <phoneticPr fontId="2" type="noConversion"/>
  </si>
  <si>
    <t>72</t>
    <phoneticPr fontId="2" type="noConversion"/>
  </si>
  <si>
    <t>500</t>
    <phoneticPr fontId="2" type="noConversion"/>
  </si>
  <si>
    <t>HZ</t>
    <phoneticPr fontId="2" type="noConversion"/>
  </si>
  <si>
    <t>KHZ</t>
    <phoneticPr fontId="2" type="noConversion"/>
  </si>
  <si>
    <t>real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</si>
</sst>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等线"/>
      <family val="2"/>
      <scheme val="minor"/>
    </font>
    <font>
      <sz val="6"/>
      <color rgb="FF4D4D4D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1" applyNumberFormat="1" applyFont="1" applyAlignment="1"/>
    <xf numFmtId="0" fontId="0" fillId="0" borderId="0" xfId="0" applyAlignment="1">
      <alignment horizont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65078</xdr:colOff>
      <xdr:row>1</xdr:row>
      <xdr:rowOff>162102</xdr:rowOff>
    </xdr:from>
    <xdr:to>
      <xdr:col>7</xdr:col>
      <xdr:colOff>599394</xdr:colOff>
      <xdr:row>1</xdr:row>
      <xdr:rowOff>969819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8F362C5-B77B-DB5F-CF1C-17D100F1D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78" y="338995"/>
          <a:ext cx="6181562" cy="807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371146</xdr:colOff>
      <xdr:row>8</xdr:row>
      <xdr:rowOff>85396</xdr:rowOff>
    </xdr:from>
    <xdr:to>
      <xdr:col>1</xdr:col>
      <xdr:colOff>305128</xdr:colOff>
      <xdr:row>9</xdr:row>
      <xdr:rowOff>137784</xdr:rowOff>
    </xdr:to>
    <xdr:pic>
      <xdr:nvPicPr>
        <xdr:cNvPr id="4" name="图片 3" descr="\frac{7200\times100 }{72}">
          <a:extLst>
            <a:ext uri="{FF2B5EF4-FFF2-40B4-BE49-F238E27FC236}">
              <a16:creationId xmlns:a16="http://schemas.microsoft.com/office/drawing/2014/main" id="{E510B53F-64FB-EAFB-1750-A61A578D3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146" y="2729405"/>
          <a:ext cx="581025" cy="22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11" zoomScale="145" zoomScaleNormal="145" workbookViewId="0">
      <selection activeCell="C20" sqref="C20"/>
    </sheetView>
  </sheetViews>
  <sheetFormatPr defaultRowHeight="13.9" x14ac:dyDescent="0.4"/>
  <cols>
    <col min="1" max="1" width="9.1328125" customWidth="1"/>
    <col min="2" max="2" width="11.1328125" bestFit="1" customWidth="1"/>
    <col min="3" max="3" width="11.86328125" customWidth="1"/>
    <col min="4" max="4" width="15" customWidth="1"/>
    <col min="7" max="7" width="13.73046875" customWidth="1"/>
  </cols>
  <sheetData>
    <row r="1" spans="1:7" x14ac:dyDescent="0.4">
      <c r="A1" t="s">
        <v>7</v>
      </c>
    </row>
    <row r="2" spans="1:7" ht="86.85" customHeight="1" x14ac:dyDescent="0.4">
      <c r="A2" s="1"/>
    </row>
    <row r="3" spans="1:7" ht="20.100000000000001" customHeight="1" x14ac:dyDescent="0.4">
      <c r="A3" s="4" t="s">
        <v>3</v>
      </c>
      <c r="B3" s="4"/>
      <c r="C3" s="4"/>
      <c r="D3" s="4"/>
      <c r="E3" s="4"/>
      <c r="F3" s="4"/>
      <c r="G3" s="4"/>
    </row>
    <row r="4" spans="1:7" ht="20.100000000000001" customHeight="1" x14ac:dyDescent="0.4">
      <c r="A4" s="4" t="s">
        <v>4</v>
      </c>
      <c r="B4" s="4"/>
      <c r="C4" s="4"/>
      <c r="D4" s="4"/>
      <c r="E4" s="4"/>
      <c r="F4" s="4"/>
      <c r="G4" s="4"/>
    </row>
    <row r="5" spans="1:7" ht="20.100000000000001" customHeight="1" x14ac:dyDescent="0.4">
      <c r="A5" s="4" t="s">
        <v>5</v>
      </c>
      <c r="B5" s="4"/>
      <c r="C5" s="4"/>
      <c r="D5" s="4"/>
      <c r="E5" s="4"/>
      <c r="F5" s="4"/>
      <c r="G5" s="4"/>
    </row>
    <row r="6" spans="1:7" ht="20.100000000000001" customHeight="1" x14ac:dyDescent="0.4">
      <c r="A6" s="4" t="s">
        <v>6</v>
      </c>
      <c r="B6" s="4"/>
      <c r="C6" s="4"/>
      <c r="D6" s="4"/>
      <c r="E6" s="4"/>
      <c r="F6" s="4"/>
      <c r="G6" s="4"/>
    </row>
    <row r="8" spans="1:7" x14ac:dyDescent="0.4">
      <c r="B8" s="1" t="s">
        <v>8</v>
      </c>
    </row>
    <row r="11" spans="1:7" x14ac:dyDescent="0.4">
      <c r="A11" t="s">
        <v>0</v>
      </c>
      <c r="B11" t="s">
        <v>1</v>
      </c>
      <c r="C11" t="s">
        <v>2</v>
      </c>
      <c r="D11" t="s">
        <v>11</v>
      </c>
      <c r="E11" t="s">
        <v>12</v>
      </c>
    </row>
    <row r="12" spans="1:7" x14ac:dyDescent="0.4">
      <c r="A12">
        <v>72</v>
      </c>
      <c r="B12" s="2" t="s">
        <v>9</v>
      </c>
      <c r="C12" s="2" t="s">
        <v>10</v>
      </c>
      <c r="D12" s="2">
        <f>B12*C12/A12</f>
        <v>10000</v>
      </c>
      <c r="E12" s="2">
        <f>D12/1000</f>
        <v>10</v>
      </c>
    </row>
    <row r="13" spans="1:7" x14ac:dyDescent="0.4">
      <c r="A13">
        <v>72</v>
      </c>
      <c r="B13" s="2" t="s">
        <v>13</v>
      </c>
      <c r="C13" s="2" t="s">
        <v>10</v>
      </c>
      <c r="D13" s="2">
        <f>B13*C13/A13</f>
        <v>1000</v>
      </c>
      <c r="E13" s="2">
        <f>D13/1000</f>
        <v>1</v>
      </c>
    </row>
    <row r="14" spans="1:7" x14ac:dyDescent="0.4">
      <c r="A14">
        <v>72</v>
      </c>
      <c r="B14">
        <v>72</v>
      </c>
      <c r="C14">
        <v>800</v>
      </c>
      <c r="D14" s="2">
        <f t="shared" ref="D14:D17" si="0">B14*C14/A14</f>
        <v>800</v>
      </c>
      <c r="E14" s="2">
        <f t="shared" ref="E14:E17" si="1">D14/1000</f>
        <v>0.8</v>
      </c>
    </row>
    <row r="15" spans="1:7" x14ac:dyDescent="0.4">
      <c r="A15">
        <v>72</v>
      </c>
      <c r="B15">
        <v>72</v>
      </c>
      <c r="C15">
        <v>500</v>
      </c>
      <c r="D15" s="2">
        <f t="shared" si="0"/>
        <v>500</v>
      </c>
      <c r="E15" s="2">
        <f t="shared" si="1"/>
        <v>0.5</v>
      </c>
    </row>
    <row r="16" spans="1:7" x14ac:dyDescent="0.4">
      <c r="A16">
        <v>72</v>
      </c>
      <c r="B16">
        <v>7200</v>
      </c>
      <c r="C16">
        <v>200</v>
      </c>
      <c r="D16" s="2">
        <f t="shared" si="0"/>
        <v>20000</v>
      </c>
      <c r="E16" s="2">
        <f t="shared" si="1"/>
        <v>20</v>
      </c>
    </row>
    <row r="17" spans="1:5" x14ac:dyDescent="0.4">
      <c r="A17">
        <v>72</v>
      </c>
      <c r="B17">
        <v>720</v>
      </c>
      <c r="C17">
        <v>200</v>
      </c>
      <c r="D17" s="2">
        <f t="shared" si="0"/>
        <v>2000</v>
      </c>
      <c r="E17" s="2">
        <f t="shared" si="1"/>
        <v>2</v>
      </c>
    </row>
    <row r="18" spans="1:5" x14ac:dyDescent="0.4">
      <c r="A18">
        <v>72</v>
      </c>
      <c r="B18">
        <v>7200</v>
      </c>
      <c r="C18">
        <v>50</v>
      </c>
      <c r="D18" s="2">
        <f t="shared" ref="D18" si="2">B18*C18/A18</f>
        <v>5000</v>
      </c>
      <c r="E18" s="2">
        <f t="shared" ref="E18" si="3">D18/1000</f>
        <v>5</v>
      </c>
    </row>
    <row r="19" spans="1:5" x14ac:dyDescent="0.4">
      <c r="A19">
        <v>168</v>
      </c>
      <c r="B19">
        <v>16800</v>
      </c>
      <c r="C19">
        <v>200</v>
      </c>
      <c r="D19" s="2">
        <f t="shared" ref="D19:D20" si="4">B19*C19/A19</f>
        <v>20000</v>
      </c>
      <c r="E19" s="2">
        <f t="shared" ref="E19:E20" si="5">D19/1000</f>
        <v>20</v>
      </c>
    </row>
    <row r="20" spans="1:5" x14ac:dyDescent="0.4">
      <c r="A20">
        <v>168</v>
      </c>
      <c r="B20">
        <v>16800</v>
      </c>
      <c r="C20">
        <v>20</v>
      </c>
      <c r="D20" s="2">
        <f t="shared" si="4"/>
        <v>2000</v>
      </c>
      <c r="E20" s="2">
        <f t="shared" si="5"/>
        <v>2</v>
      </c>
    </row>
    <row r="23" spans="1:5" x14ac:dyDescent="0.4">
      <c r="A23" t="s">
        <v>14</v>
      </c>
    </row>
    <row r="25" spans="1:5" x14ac:dyDescent="0.4">
      <c r="A25" t="s">
        <v>15</v>
      </c>
    </row>
    <row r="27" spans="1:5" x14ac:dyDescent="0.4">
      <c r="A27" t="s">
        <v>16</v>
      </c>
    </row>
    <row r="29" spans="1:5" x14ac:dyDescent="0.4">
      <c r="A29" t="s">
        <v>17</v>
      </c>
    </row>
    <row r="30" spans="1:5" x14ac:dyDescent="0.4">
      <c r="A30" t="s">
        <v>18</v>
      </c>
    </row>
    <row r="32" spans="1:5" x14ac:dyDescent="0.4">
      <c r="A32" t="s">
        <v>19</v>
      </c>
    </row>
    <row r="33" spans="1:7" x14ac:dyDescent="0.4">
      <c r="A33" t="s">
        <v>20</v>
      </c>
    </row>
    <row r="35" spans="1:7" x14ac:dyDescent="0.4">
      <c r="A35" t="s">
        <v>0</v>
      </c>
      <c r="B35" t="s">
        <v>1</v>
      </c>
      <c r="C35" t="s">
        <v>21</v>
      </c>
      <c r="D35" t="s">
        <v>24</v>
      </c>
      <c r="E35" t="s">
        <v>25</v>
      </c>
    </row>
    <row r="36" spans="1:7" x14ac:dyDescent="0.4">
      <c r="A36">
        <v>72</v>
      </c>
      <c r="B36" s="2" t="s">
        <v>22</v>
      </c>
      <c r="C36" s="2" t="s">
        <v>23</v>
      </c>
      <c r="D36" s="3">
        <f xml:space="preserve"> A36*1000000/(B36*C36)</f>
        <v>2000</v>
      </c>
      <c r="E36" s="2">
        <f>D36/1000</f>
        <v>2</v>
      </c>
    </row>
    <row r="37" spans="1:7" x14ac:dyDescent="0.4">
      <c r="A37">
        <v>72</v>
      </c>
      <c r="B37" s="2" t="s">
        <v>13</v>
      </c>
      <c r="C37" s="2" t="s">
        <v>10</v>
      </c>
      <c r="D37" s="3">
        <f t="shared" ref="D37:D44" si="6" xml:space="preserve"> A37*1000000/(B37*C37)</f>
        <v>1000</v>
      </c>
      <c r="E37" s="2">
        <f>D37/1000</f>
        <v>1</v>
      </c>
    </row>
    <row r="38" spans="1:7" x14ac:dyDescent="0.4">
      <c r="A38">
        <v>72</v>
      </c>
      <c r="B38">
        <v>72</v>
      </c>
      <c r="C38">
        <v>800</v>
      </c>
      <c r="D38" s="3">
        <f t="shared" si="6"/>
        <v>1250</v>
      </c>
      <c r="E38" s="2">
        <f t="shared" ref="E38:E44" si="7">D38/1000</f>
        <v>1.25</v>
      </c>
    </row>
    <row r="39" spans="1:7" x14ac:dyDescent="0.4">
      <c r="A39">
        <v>72</v>
      </c>
      <c r="B39">
        <v>72</v>
      </c>
      <c r="C39">
        <v>500</v>
      </c>
      <c r="D39" s="3">
        <f t="shared" si="6"/>
        <v>2000</v>
      </c>
      <c r="E39" s="2">
        <f t="shared" si="7"/>
        <v>2</v>
      </c>
    </row>
    <row r="40" spans="1:7" x14ac:dyDescent="0.4">
      <c r="A40">
        <v>72</v>
      </c>
      <c r="B40">
        <v>7200</v>
      </c>
      <c r="C40">
        <v>200</v>
      </c>
      <c r="D40" s="3">
        <f t="shared" si="6"/>
        <v>50</v>
      </c>
      <c r="E40" s="2">
        <f t="shared" si="7"/>
        <v>0.05</v>
      </c>
    </row>
    <row r="41" spans="1:7" x14ac:dyDescent="0.4">
      <c r="A41">
        <v>72</v>
      </c>
      <c r="B41">
        <v>720</v>
      </c>
      <c r="C41">
        <v>200</v>
      </c>
      <c r="D41" s="3">
        <f t="shared" si="6"/>
        <v>500</v>
      </c>
      <c r="E41" s="2">
        <f t="shared" si="7"/>
        <v>0.5</v>
      </c>
    </row>
    <row r="42" spans="1:7" x14ac:dyDescent="0.4">
      <c r="A42">
        <v>72</v>
      </c>
      <c r="B42">
        <v>7200</v>
      </c>
      <c r="C42">
        <v>50</v>
      </c>
      <c r="D42" s="3">
        <f t="shared" si="6"/>
        <v>200</v>
      </c>
      <c r="E42" s="2">
        <f t="shared" si="7"/>
        <v>0.2</v>
      </c>
    </row>
    <row r="43" spans="1:7" x14ac:dyDescent="0.4">
      <c r="A43">
        <v>168</v>
      </c>
      <c r="B43">
        <v>1</v>
      </c>
      <c r="C43">
        <v>10000</v>
      </c>
      <c r="D43" s="3">
        <f t="shared" si="6"/>
        <v>16800</v>
      </c>
      <c r="E43" s="2">
        <f t="shared" si="7"/>
        <v>16.8</v>
      </c>
    </row>
    <row r="44" spans="1:7" x14ac:dyDescent="0.4">
      <c r="A44">
        <v>84</v>
      </c>
      <c r="B44">
        <v>1</v>
      </c>
      <c r="C44">
        <v>65536</v>
      </c>
      <c r="D44" s="3">
        <f t="shared" si="6"/>
        <v>1281.73828125</v>
      </c>
      <c r="E44" s="2">
        <f t="shared" si="7"/>
        <v>1.28173828125</v>
      </c>
      <c r="G44" t="s">
        <v>26</v>
      </c>
    </row>
    <row r="45" spans="1:7" x14ac:dyDescent="0.4">
      <c r="A45">
        <v>84</v>
      </c>
      <c r="B45">
        <v>84</v>
      </c>
      <c r="C45">
        <v>10000</v>
      </c>
      <c r="D45" s="3">
        <f t="shared" ref="D45:D48" si="8" xml:space="preserve"> A45*1000000/(B45*C45)</f>
        <v>100</v>
      </c>
      <c r="E45" s="2">
        <f t="shared" ref="E45:E48" si="9">D45/1000</f>
        <v>0.1</v>
      </c>
    </row>
    <row r="46" spans="1:7" x14ac:dyDescent="0.4">
      <c r="A46">
        <v>84</v>
      </c>
      <c r="B46">
        <v>42</v>
      </c>
      <c r="C46">
        <v>10000</v>
      </c>
      <c r="D46" s="3">
        <f t="shared" si="8"/>
        <v>200</v>
      </c>
      <c r="E46" s="2">
        <f t="shared" si="9"/>
        <v>0.2</v>
      </c>
    </row>
    <row r="47" spans="1:7" x14ac:dyDescent="0.4">
      <c r="A47">
        <v>84</v>
      </c>
      <c r="B47">
        <v>21</v>
      </c>
      <c r="C47">
        <v>10000</v>
      </c>
      <c r="D47" s="3">
        <f t="shared" si="8"/>
        <v>400</v>
      </c>
      <c r="E47" s="2">
        <f t="shared" si="9"/>
        <v>0.4</v>
      </c>
    </row>
    <row r="48" spans="1:7" x14ac:dyDescent="0.4">
      <c r="A48">
        <v>84</v>
      </c>
      <c r="B48">
        <v>10</v>
      </c>
      <c r="C48">
        <v>10000</v>
      </c>
      <c r="D48" s="3">
        <f t="shared" si="8"/>
        <v>840</v>
      </c>
      <c r="E48" s="2">
        <f t="shared" si="9"/>
        <v>0.84</v>
      </c>
    </row>
    <row r="49" spans="1:5" x14ac:dyDescent="0.4">
      <c r="A49">
        <v>84</v>
      </c>
      <c r="B49">
        <v>1</v>
      </c>
      <c r="C49">
        <v>10000</v>
      </c>
      <c r="D49" s="3">
        <f t="shared" ref="D49:D52" si="10" xml:space="preserve"> A49*1000000/(B49*C49)</f>
        <v>8400</v>
      </c>
      <c r="E49" s="2">
        <f t="shared" ref="E49:E52" si="11">D49/1000</f>
        <v>8.4</v>
      </c>
    </row>
    <row r="50" spans="1:5" x14ac:dyDescent="0.4">
      <c r="A50">
        <v>84</v>
      </c>
      <c r="B50">
        <v>2</v>
      </c>
      <c r="C50">
        <v>10000</v>
      </c>
      <c r="D50" s="3">
        <f t="shared" si="10"/>
        <v>4200</v>
      </c>
      <c r="E50" s="2">
        <f t="shared" si="11"/>
        <v>4.2</v>
      </c>
    </row>
    <row r="51" spans="1:5" x14ac:dyDescent="0.4">
      <c r="A51">
        <v>84</v>
      </c>
      <c r="B51">
        <v>1</v>
      </c>
      <c r="C51">
        <v>10000</v>
      </c>
      <c r="D51" s="3">
        <f t="shared" si="10"/>
        <v>8400</v>
      </c>
      <c r="E51" s="2">
        <f t="shared" si="11"/>
        <v>8.4</v>
      </c>
    </row>
    <row r="52" spans="1:5" x14ac:dyDescent="0.4">
      <c r="A52">
        <v>84</v>
      </c>
      <c r="B52">
        <v>1</v>
      </c>
      <c r="C52">
        <v>5000</v>
      </c>
      <c r="D52" s="3">
        <f t="shared" si="10"/>
        <v>16800</v>
      </c>
      <c r="E52" s="2">
        <f t="shared" si="11"/>
        <v>16.8</v>
      </c>
    </row>
    <row r="53" spans="1:5" x14ac:dyDescent="0.4">
      <c r="A53">
        <v>84</v>
      </c>
      <c r="B53">
        <v>1</v>
      </c>
      <c r="C53">
        <v>8400</v>
      </c>
      <c r="D53" s="3">
        <f t="shared" ref="D53" si="12" xml:space="preserve"> A53*1000000/(B53*C53)</f>
        <v>10000</v>
      </c>
      <c r="E53" s="2">
        <f t="shared" ref="E53" si="13">D53/1000</f>
        <v>10</v>
      </c>
    </row>
    <row r="54" spans="1:5" x14ac:dyDescent="0.4">
      <c r="A54">
        <v>84</v>
      </c>
      <c r="B54">
        <v>1</v>
      </c>
      <c r="C54">
        <v>100</v>
      </c>
      <c r="D54" s="3">
        <f t="shared" ref="D54:D56" si="14" xml:space="preserve"> A54*1000000/(B54*C54)</f>
        <v>840000</v>
      </c>
      <c r="E54" s="2">
        <f t="shared" ref="E54:E56" si="15">D54/1000</f>
        <v>840</v>
      </c>
    </row>
    <row r="55" spans="1:5" x14ac:dyDescent="0.4">
      <c r="A55">
        <v>84</v>
      </c>
      <c r="B55">
        <v>1</v>
      </c>
      <c r="C55">
        <v>10</v>
      </c>
      <c r="D55" s="3">
        <f t="shared" si="14"/>
        <v>8400000</v>
      </c>
      <c r="E55" s="2">
        <f t="shared" si="15"/>
        <v>8400</v>
      </c>
    </row>
    <row r="56" spans="1:5" x14ac:dyDescent="0.4">
      <c r="A56">
        <v>84</v>
      </c>
      <c r="B56">
        <v>1</v>
      </c>
      <c r="C56">
        <v>1</v>
      </c>
      <c r="D56" s="3">
        <f t="shared" si="14"/>
        <v>84000000</v>
      </c>
      <c r="E56" s="2">
        <f t="shared" si="15"/>
        <v>84000</v>
      </c>
    </row>
    <row r="57" spans="1:5" x14ac:dyDescent="0.4">
      <c r="D57" s="3"/>
      <c r="E57" s="2"/>
    </row>
  </sheetData>
  <mergeCells count="4">
    <mergeCell ref="A3:G3"/>
    <mergeCell ref="A4:G4"/>
    <mergeCell ref="A5:G5"/>
    <mergeCell ref="A6:G6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宋诚</dc:creator>
  <cp:lastModifiedBy>诚 宋</cp:lastModifiedBy>
  <dcterms:created xsi:type="dcterms:W3CDTF">2015-06-05T18:19:34Z</dcterms:created>
  <dcterms:modified xsi:type="dcterms:W3CDTF">2025-08-29T17:06:11Z</dcterms:modified>
</cp:coreProperties>
</file>